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180" activeTab="4"/>
  </bookViews>
  <sheets>
    <sheet name="Unit Economics" sheetId="1" r:id="rId1"/>
    <sheet name="Part A" sheetId="2" r:id="rId2"/>
    <sheet name="Dashboard" sheetId="3" r:id="rId3"/>
    <sheet name="Action Plan" sheetId="4" r:id="rId4"/>
    <sheet name="AI Log" sheetId="5" r:id="rId5"/>
  </sheets>
  <calcPr calcId="152511"/>
</workbook>
</file>

<file path=xl/calcChain.xml><?xml version="1.0" encoding="utf-8"?>
<calcChain xmlns="http://schemas.openxmlformats.org/spreadsheetml/2006/main">
  <c r="B4" i="3" l="1"/>
  <c r="C4" i="3"/>
  <c r="B5" i="3"/>
  <c r="C5" i="3" s="1"/>
  <c r="B6" i="3"/>
  <c r="C6" i="3"/>
  <c r="B7" i="3"/>
  <c r="C7" i="3"/>
  <c r="B8" i="3"/>
  <c r="C8" i="3" s="1"/>
  <c r="B9" i="3"/>
  <c r="C9" i="3" s="1"/>
  <c r="B10" i="3"/>
  <c r="C10" i="3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C29" i="1"/>
  <c r="D29" i="1"/>
  <c r="E29" i="1"/>
  <c r="F29" i="1"/>
  <c r="G29" i="1"/>
  <c r="H29" i="1"/>
  <c r="B29" i="1"/>
  <c r="B23" i="1"/>
  <c r="B22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<sst xmlns="http://schemas.openxmlformats.org/spreadsheetml/2006/main" count="165" uniqueCount="144">
  <si>
    <t>Cars24 Supply Unit Economics</t>
  </si>
  <si>
    <t>Editable Inputs</t>
  </si>
  <si>
    <t>Value</t>
  </si>
  <si>
    <t>Notes</t>
  </si>
  <si>
    <t>Leads</t>
  </si>
  <si>
    <t>Model uses 1,000 leads</t>
  </si>
  <si>
    <t>Lead-to-call conversion</t>
  </si>
  <si>
    <t>From call logs</t>
  </si>
  <si>
    <t>Call-to-appointment conversion</t>
  </si>
  <si>
    <t>Booked leads / connected leads</t>
  </si>
  <si>
    <t>Appointment show-up rate</t>
  </si>
  <si>
    <t>Completed appointments / booked leads</t>
  </si>
  <si>
    <t>Inspection-to-purchase rate</t>
  </si>
  <si>
    <t>Purchases / completed inspections</t>
  </si>
  <si>
    <t>Inspector cost per inspection</t>
  </si>
  <si>
    <t>Editable assumption</t>
  </si>
  <si>
    <t>Vendor commission</t>
  </si>
  <si>
    <t>No source value provided; editable</t>
  </si>
  <si>
    <t>Average contribution per car</t>
  </si>
  <si>
    <t>Resale less offer, refurb and tow</t>
  </si>
  <si>
    <t>Cost per lead</t>
  </si>
  <si>
    <t>Marketing spend / leads</t>
  </si>
  <si>
    <t>Outputs</t>
  </si>
  <si>
    <t>Formula result</t>
  </si>
  <si>
    <t>Expected inspections</t>
  </si>
  <si>
    <t>Expected purchases</t>
  </si>
  <si>
    <t>Gross contribution</t>
  </si>
  <si>
    <t>Inspection cost</t>
  </si>
  <si>
    <t>Lead acquisition cost</t>
  </si>
  <si>
    <t>Contribution per 1,000 leads</t>
  </si>
  <si>
    <t>Break-even lead-to-inspection conversion</t>
  </si>
  <si>
    <t>Sensitivity: Conversion vs Contribution per Car</t>
  </si>
  <si>
    <t>Conversion / Contribution</t>
  </si>
  <si>
    <t>Metric</t>
  </si>
  <si>
    <t>August conversion</t>
  </si>
  <si>
    <t>Unique sellers</t>
  </si>
  <si>
    <t>Duplicate inspection rows</t>
  </si>
  <si>
    <t>GPS/duration anomalies</t>
  </si>
  <si>
    <t>Vendor-partner anomaly percentage</t>
  </si>
  <si>
    <t>Lucknow connect rate</t>
  </si>
  <si>
    <t>Show-up rate after 48 hours</t>
  </si>
  <si>
    <t>Old-car contribution</t>
  </si>
  <si>
    <t>Invalid inspection IDs</t>
  </si>
  <si>
    <t>Purchase rate after &gt;10% revision</t>
  </si>
  <si>
    <t>Purchase rate without revision</t>
  </si>
  <si>
    <t>Unexplained conversion-drop points</t>
  </si>
  <si>
    <t>Cars24 Supply Dashboard</t>
  </si>
  <si>
    <t>KPI</t>
  </si>
  <si>
    <t>Status</t>
  </si>
  <si>
    <t>August lead-to-inspection conversion</t>
  </si>
  <si>
    <t>Alert</t>
  </si>
  <si>
    <t>Threshold</t>
  </si>
  <si>
    <t>Owner</t>
  </si>
  <si>
    <t>Conversion below target</t>
  </si>
  <si>
    <t>Below 30%</t>
  </si>
  <si>
    <t>City heads / Supply</t>
  </si>
  <si>
    <t>Below 35%</t>
  </si>
  <si>
    <t>Call operations</t>
  </si>
  <si>
    <t>Long-wait show-up</t>
  </si>
  <si>
    <t>Below 70%</t>
  </si>
  <si>
    <t>Appointment operations</t>
  </si>
  <si>
    <t>Revised-offer purchase rate</t>
  </si>
  <si>
    <t>Below 20%</t>
  </si>
  <si>
    <t>Pricing / Product</t>
  </si>
  <si>
    <t>Negative old-car contribution</t>
  </si>
  <si>
    <t>Below ₹0</t>
  </si>
  <si>
    <t>Finance / City head</t>
  </si>
  <si>
    <t>GPS anomalies</t>
  </si>
  <si>
    <t>Above 300</t>
  </si>
  <si>
    <t>Inspector operations</t>
  </si>
  <si>
    <t>Above 0</t>
  </si>
  <si>
    <t>Data engineering</t>
  </si>
  <si>
    <t>Rank</t>
  </si>
  <si>
    <t>Timing</t>
  </si>
  <si>
    <t>Action</t>
  </si>
  <si>
    <t>Expected impact</t>
  </si>
  <si>
    <t>Cost</t>
  </si>
  <si>
    <t>Two-week success check</t>
  </si>
  <si>
    <t>7 days</t>
  </si>
  <si>
    <t>Reconcile Finance and operational inspection counts</t>
  </si>
  <si>
    <t>Data Engineering + Finance</t>
  </si>
  <si>
    <t>100% agreement on inspection definition</t>
  </si>
  <si>
    <t>Low</t>
  </si>
  <si>
    <t>Monthly count difference explained</t>
  </si>
  <si>
    <t>Investigate GPS and short-duration anomalies</t>
  </si>
  <si>
    <t>Inspector Operations</t>
  </si>
  <si>
    <t>Reduce anomalies by 50%</t>
  </si>
  <si>
    <t>Anomaly rate falls below 2%</t>
  </si>
  <si>
    <t>Review Lucknow calling process</t>
  </si>
  <si>
    <t>Call Operations</t>
  </si>
  <si>
    <t>Improve connect rate by 5 percentage points</t>
  </si>
  <si>
    <t>Connect rate improves from 24.79%</t>
  </si>
  <si>
    <t>30 days</t>
  </si>
  <si>
    <t>Test revised-offer explanation and approval flow</t>
  </si>
  <si>
    <t>Pricing + Product</t>
  </si>
  <si>
    <t>Improve revised-offer purchase rate by 3 percentage points</t>
  </si>
  <si>
    <t>Medium</t>
  </si>
  <si>
    <t>A/B test shows higher purchase rate</t>
  </si>
  <si>
    <t>Reduce appointment waiting time</t>
  </si>
  <si>
    <t>Appointment Operations</t>
  </si>
  <si>
    <t>Improve show-up rate by 3 percentage points</t>
  </si>
  <si>
    <t>48-hour wait cohort improves</t>
  </si>
  <si>
    <t>Rebalance inspector capacity by city</t>
  </si>
  <si>
    <t>Supply Operations</t>
  </si>
  <si>
    <t>Improve lead-to-inspection conversion by 2 percentage points</t>
  </si>
  <si>
    <t>Conversion improves in affected cities</t>
  </si>
  <si>
    <t>90 days</t>
  </si>
  <si>
    <t>Move marketing decisions to inspected-lead CAC</t>
  </si>
  <si>
    <t>Marketing + Finance</t>
  </si>
  <si>
    <t>Reduce cost per inspected lead by 10%</t>
  </si>
  <si>
    <t>Weekly CAC dashboard is live</t>
  </si>
  <si>
    <t>Build automated inspection-quality monitoring</t>
  </si>
  <si>
    <t>Data Engineering + Supply</t>
  </si>
  <si>
    <t>Prevent recurring data-quality issues</t>
  </si>
  <si>
    <t>High</t>
  </si>
  <si>
    <t>Alerts trigger before reporting</t>
  </si>
  <si>
    <t>Do not do</t>
  </si>
  <si>
    <t>Reason</t>
  </si>
  <si>
    <t>Immediately cap call attempts</t>
  </si>
  <si>
    <t>More attempts may be caused by difficult leads; correlation is not causation</t>
  </si>
  <si>
    <t>Treat every inspection row as a unique inspection</t>
  </si>
  <si>
    <t>Duplicate rows and re-inspections distort reporting</t>
  </si>
  <si>
    <t>Judge cities using raw lead volume only</t>
  </si>
  <si>
    <t>Contribution and inspection cost determine whether a city is worth serving</t>
  </si>
  <si>
    <t>Delete anomalous records without review</t>
  </si>
  <si>
    <t>Anomalies should be investigated and separately reported</t>
  </si>
  <si>
    <t>Claim offer revisions caused lost purchases</t>
  </si>
  <si>
    <t>The data supports correlation, not causation</t>
  </si>
  <si>
    <t>Section</t>
  </si>
  <si>
    <t>Response</t>
  </si>
  <si>
    <t>Tools used</t>
  </si>
  <si>
    <t>Python with pandas, DuckDB SQL, Excel, and ChatGPT</t>
  </si>
  <si>
    <t>Prompt 1</t>
  </si>
  <si>
    <t>Profile all files, identify inconsistent date formats, duplicate keys, missing joins, and timezone issues.</t>
  </si>
  <si>
    <t>Prompt 2</t>
  </si>
  <si>
    <t>Write reproducible SQL for daily conversion, inspector anomalies, Finance reconciliation, and lead cohorts.</t>
  </si>
  <si>
    <t>AI error caught</t>
  </si>
  <si>
    <t>The first calculation treated positive revision_pct values as upward revisions. I checked the raw price_revisions.csv values and confirmed that positive values represented downward offer revisions.</t>
  </si>
  <si>
    <t>Second validation</t>
  </si>
  <si>
    <t>I also checked that duplicate inspection rows did not automatically mean duplicate sellers or duplicate inspected leads.</t>
  </si>
  <si>
    <t>How I corrected it</t>
  </si>
  <si>
    <t>I recalculated purchase rates using revision_pct greater than 10 and compared the result against the no-revision group.</t>
  </si>
  <si>
    <t>Main lesson</t>
  </si>
  <si>
    <t>AI helped generate code quickly, but I validated the outputs against raw rows, unique IDs, dates, and business definitions.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</si>
</sst>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₹#,##0"/>
    <numFmt numFmtId="165" formatCode="0.0%"/>
    <numFmt numFmtId="169" formatCode="\₹#,##0;[Red]\-\₹#,##0"/>
    <numFmt numFmtId="170" formatCode="0.00&quot; percentage points&quot;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10" fontId="0" fillId="0" borderId="0" xfId="0" applyNumberFormat="1" applyFont="1"/>
    <xf numFmtId="169" fontId="0" fillId="0" borderId="0" xfId="0" applyNumberFormat="1"/>
    <xf numFmtId="3" fontId="0" fillId="0" borderId="0" xfId="0" applyNumberFormat="1"/>
    <xf numFmtId="170" fontId="0" fillId="0" borderId="0" xfId="0" applyNumberFormat="1"/>
    <xf numFmtId="10" fontId="0" fillId="0" borderId="0" xfId="0" applyNumberFormat="1"/>
    <xf numFmtId="0" fontId="0" fillId="5" borderId="0" xfId="0" applyFill="1"/>
    <xf numFmtId="0" fontId="0" fillId="6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28" workbookViewId="0">
      <selection activeCell="A27" sqref="A27"/>
    </sheetView>
  </sheetViews>
  <sheetFormatPr defaultRowHeight="14.5" x14ac:dyDescent="0.35"/>
  <cols>
    <col min="1" max="1" width="39.36328125" customWidth="1"/>
    <col min="2" max="2" width="18.7265625" customWidth="1"/>
    <col min="3" max="3" width="45.7265625" customWidth="1"/>
    <col min="4" max="8" width="15.6328125" customWidth="1"/>
  </cols>
  <sheetData>
    <row r="1" spans="1:3" ht="21" x14ac:dyDescent="0.5">
      <c r="A1" s="1" t="s">
        <v>0</v>
      </c>
    </row>
    <row r="3" spans="1:3" x14ac:dyDescent="0.35">
      <c r="A3" s="2" t="s">
        <v>1</v>
      </c>
      <c r="B3" s="2" t="s">
        <v>2</v>
      </c>
      <c r="C3" s="2" t="s">
        <v>3</v>
      </c>
    </row>
    <row r="5" spans="1:3" x14ac:dyDescent="0.35">
      <c r="A5" s="2" t="s">
        <v>4</v>
      </c>
      <c r="B5" s="3">
        <v>1000</v>
      </c>
      <c r="C5" t="s">
        <v>5</v>
      </c>
    </row>
    <row r="6" spans="1:3" x14ac:dyDescent="0.35">
      <c r="A6" s="2" t="s">
        <v>6</v>
      </c>
      <c r="B6" s="4">
        <v>0.71717310871447693</v>
      </c>
      <c r="C6" t="s">
        <v>7</v>
      </c>
    </row>
    <row r="7" spans="1:3" x14ac:dyDescent="0.35">
      <c r="A7" s="2" t="s">
        <v>8</v>
      </c>
      <c r="B7" s="4">
        <v>0.59144919184435119</v>
      </c>
      <c r="C7" t="s">
        <v>9</v>
      </c>
    </row>
    <row r="8" spans="1:3" x14ac:dyDescent="0.35">
      <c r="A8" s="2" t="s">
        <v>10</v>
      </c>
      <c r="B8" s="4">
        <v>0.82485036885816365</v>
      </c>
      <c r="C8" t="s">
        <v>11</v>
      </c>
    </row>
    <row r="9" spans="1:3" x14ac:dyDescent="0.35">
      <c r="A9" s="2" t="s">
        <v>12</v>
      </c>
      <c r="B9" s="4">
        <v>0.34846439419507258</v>
      </c>
      <c r="C9" t="s">
        <v>13</v>
      </c>
    </row>
    <row r="10" spans="1:3" x14ac:dyDescent="0.35">
      <c r="A10" s="2" t="s">
        <v>14</v>
      </c>
      <c r="B10" s="3">
        <v>450</v>
      </c>
      <c r="C10" t="s">
        <v>15</v>
      </c>
    </row>
    <row r="11" spans="1:3" x14ac:dyDescent="0.35">
      <c r="A11" s="2" t="s">
        <v>16</v>
      </c>
      <c r="B11" s="4">
        <v>0</v>
      </c>
      <c r="C11" t="s">
        <v>17</v>
      </c>
    </row>
    <row r="12" spans="1:3" x14ac:dyDescent="0.35">
      <c r="A12" s="2" t="s">
        <v>18</v>
      </c>
      <c r="B12" s="3">
        <v>22254.69281678773</v>
      </c>
      <c r="C12" t="s">
        <v>19</v>
      </c>
    </row>
    <row r="13" spans="1:3" x14ac:dyDescent="0.35">
      <c r="A13" s="2" t="s">
        <v>20</v>
      </c>
      <c r="B13" s="3">
        <v>1024.4899630008661</v>
      </c>
      <c r="C13" t="s">
        <v>21</v>
      </c>
    </row>
    <row r="16" spans="1:3" x14ac:dyDescent="0.35">
      <c r="A16" s="2" t="s">
        <v>22</v>
      </c>
      <c r="B16" s="2" t="s">
        <v>23</v>
      </c>
    </row>
    <row r="17" spans="1:8" x14ac:dyDescent="0.35">
      <c r="A17" t="s">
        <v>24</v>
      </c>
      <c r="B17" s="5">
        <f>B5*B6*B7*B8</f>
        <v>349.87798157915461</v>
      </c>
    </row>
    <row r="18" spans="1:8" x14ac:dyDescent="0.35">
      <c r="A18" t="s">
        <v>25</v>
      </c>
      <c r="B18" s="5">
        <f>B17*B9</f>
        <v>121.92001889317487</v>
      </c>
    </row>
    <row r="19" spans="1:8" x14ac:dyDescent="0.35">
      <c r="A19" t="s">
        <v>26</v>
      </c>
      <c r="B19" s="6">
        <f>B18*B12*(1-B11)</f>
        <v>2713292.568684563</v>
      </c>
    </row>
    <row r="20" spans="1:8" x14ac:dyDescent="0.35">
      <c r="A20" t="s">
        <v>27</v>
      </c>
      <c r="B20" s="6">
        <f>B17*B10</f>
        <v>157445.09171061957</v>
      </c>
    </row>
    <row r="21" spans="1:8" x14ac:dyDescent="0.35">
      <c r="A21" t="s">
        <v>28</v>
      </c>
      <c r="B21" s="6">
        <f>B5*B13</f>
        <v>1024489.963000866</v>
      </c>
    </row>
    <row r="22" spans="1:8" x14ac:dyDescent="0.35">
      <c r="A22" t="s">
        <v>29</v>
      </c>
      <c r="B22" s="6">
        <f>B19-B20-B21</f>
        <v>1531357.5139730773</v>
      </c>
    </row>
    <row r="23" spans="1:8" x14ac:dyDescent="0.35">
      <c r="A23" t="s">
        <v>30</v>
      </c>
      <c r="B23" s="7">
        <f>B13/(B9*B12*(1-B11)-B10)</f>
        <v>0.14024564596758998</v>
      </c>
    </row>
    <row r="27" spans="1:8" x14ac:dyDescent="0.35">
      <c r="A27" s="2" t="s">
        <v>31</v>
      </c>
    </row>
    <row r="28" spans="1:8" x14ac:dyDescent="0.35">
      <c r="A28" s="2" t="s">
        <v>32</v>
      </c>
      <c r="B28" s="3">
        <v>10000</v>
      </c>
      <c r="C28" s="3">
        <v>15000</v>
      </c>
      <c r="D28" s="3">
        <v>20000</v>
      </c>
      <c r="E28" s="3">
        <v>25000</v>
      </c>
      <c r="F28" s="3">
        <v>30000</v>
      </c>
      <c r="G28" s="3">
        <v>40000</v>
      </c>
      <c r="H28" s="3">
        <v>50000</v>
      </c>
    </row>
    <row r="29" spans="1:8" x14ac:dyDescent="0.35">
      <c r="A29" s="4">
        <v>0.1</v>
      </c>
      <c r="B29" s="6">
        <f>1000*$A29*$B$9*B$28*(1-$B$11)-1000*$A29*$B$10-1000*$B$13</f>
        <v>-721025.56880579342</v>
      </c>
      <c r="C29" s="6">
        <f t="shared" ref="C29:H37" si="0">1000*$A29*$B$9*C$28*(1-$B$11)-1000*$A29*$B$10-1000*$B$13</f>
        <v>-546793.37170825712</v>
      </c>
      <c r="D29" s="6">
        <f t="shared" si="0"/>
        <v>-372561.17461072083</v>
      </c>
      <c r="E29" s="6">
        <f t="shared" si="0"/>
        <v>-198328.97751318465</v>
      </c>
      <c r="F29" s="6">
        <f t="shared" si="0"/>
        <v>-24096.780415648362</v>
      </c>
      <c r="G29" s="6">
        <f t="shared" si="0"/>
        <v>324367.61377942434</v>
      </c>
      <c r="H29" s="6">
        <f t="shared" si="0"/>
        <v>672832.00797449669</v>
      </c>
    </row>
    <row r="30" spans="1:8" x14ac:dyDescent="0.35">
      <c r="A30" s="4">
        <v>0.15</v>
      </c>
      <c r="B30" s="6">
        <f t="shared" ref="B30:B37" si="1">1000*$A30*$B$9*B$28*(1-$B$11)-1000*$A30*$B$10-1000*$B$13</f>
        <v>-569293.37170825712</v>
      </c>
      <c r="C30" s="6">
        <f t="shared" si="0"/>
        <v>-307945.07606195274</v>
      </c>
      <c r="D30" s="6">
        <f t="shared" si="0"/>
        <v>-46596.780415648245</v>
      </c>
      <c r="E30" s="6">
        <f t="shared" si="0"/>
        <v>214751.51523065625</v>
      </c>
      <c r="F30" s="6">
        <f t="shared" si="0"/>
        <v>476099.81087696052</v>
      </c>
      <c r="G30" s="6">
        <f t="shared" si="0"/>
        <v>998796.40216956951</v>
      </c>
      <c r="H30" s="6">
        <f t="shared" si="0"/>
        <v>1521492.9934621784</v>
      </c>
    </row>
    <row r="31" spans="1:8" x14ac:dyDescent="0.35">
      <c r="A31" s="4">
        <v>0.2</v>
      </c>
      <c r="B31" s="6">
        <f t="shared" si="1"/>
        <v>-417561.17461072083</v>
      </c>
      <c r="C31" s="6">
        <f t="shared" si="0"/>
        <v>-69096.780415648362</v>
      </c>
      <c r="D31" s="6">
        <f t="shared" si="0"/>
        <v>279367.61377942434</v>
      </c>
      <c r="E31" s="6">
        <f t="shared" si="0"/>
        <v>627832.00797449669</v>
      </c>
      <c r="F31" s="6">
        <f t="shared" si="0"/>
        <v>976296.40216956928</v>
      </c>
      <c r="G31" s="6">
        <f t="shared" si="0"/>
        <v>1673225.1905597146</v>
      </c>
      <c r="H31" s="6">
        <f t="shared" si="0"/>
        <v>2370153.9789498593</v>
      </c>
    </row>
    <row r="32" spans="1:8" x14ac:dyDescent="0.35">
      <c r="A32" s="4">
        <v>0.25</v>
      </c>
      <c r="B32" s="6">
        <f t="shared" si="1"/>
        <v>-265828.97751318454</v>
      </c>
      <c r="C32" s="6">
        <f t="shared" si="0"/>
        <v>169751.51523065625</v>
      </c>
      <c r="D32" s="6">
        <f t="shared" si="0"/>
        <v>605332.00797449693</v>
      </c>
      <c r="E32" s="6">
        <f t="shared" si="0"/>
        <v>1040912.5007183376</v>
      </c>
      <c r="F32" s="6">
        <f t="shared" si="0"/>
        <v>1476492.9934621784</v>
      </c>
      <c r="G32" s="6">
        <f t="shared" si="0"/>
        <v>2347653.9789498597</v>
      </c>
      <c r="H32" s="6">
        <f t="shared" si="0"/>
        <v>3218814.9644375411</v>
      </c>
    </row>
    <row r="33" spans="1:8" x14ac:dyDescent="0.35">
      <c r="A33" s="4">
        <v>0.3</v>
      </c>
      <c r="B33" s="6">
        <f t="shared" si="1"/>
        <v>-114096.78041564825</v>
      </c>
      <c r="C33" s="6">
        <f t="shared" si="0"/>
        <v>408599.81087696052</v>
      </c>
      <c r="D33" s="6">
        <f t="shared" si="0"/>
        <v>931296.40216956951</v>
      </c>
      <c r="E33" s="6">
        <f t="shared" si="0"/>
        <v>1453992.9934621784</v>
      </c>
      <c r="F33" s="6">
        <f t="shared" si="0"/>
        <v>1976689.5847547869</v>
      </c>
      <c r="G33" s="6">
        <f t="shared" si="0"/>
        <v>3022082.7673400049</v>
      </c>
      <c r="H33" s="6">
        <f t="shared" si="0"/>
        <v>4067475.9499252229</v>
      </c>
    </row>
    <row r="34" spans="1:8" x14ac:dyDescent="0.35">
      <c r="A34" s="4">
        <v>0.35</v>
      </c>
      <c r="B34" s="6">
        <f t="shared" si="1"/>
        <v>37635.416681887931</v>
      </c>
      <c r="C34" s="6">
        <f t="shared" si="0"/>
        <v>647448.10652326501</v>
      </c>
      <c r="D34" s="6">
        <f t="shared" si="0"/>
        <v>1257260.7963646417</v>
      </c>
      <c r="E34" s="6">
        <f t="shared" si="0"/>
        <v>1867073.4862060188</v>
      </c>
      <c r="F34" s="6">
        <f t="shared" si="0"/>
        <v>2476886.1760473959</v>
      </c>
      <c r="G34" s="6">
        <f t="shared" si="0"/>
        <v>3696511.5557301496</v>
      </c>
      <c r="H34" s="6">
        <f t="shared" si="0"/>
        <v>4916136.9354129042</v>
      </c>
    </row>
    <row r="35" spans="1:8" x14ac:dyDescent="0.35">
      <c r="A35" s="4">
        <v>0.4</v>
      </c>
      <c r="B35" s="6">
        <f t="shared" si="1"/>
        <v>189367.61377942434</v>
      </c>
      <c r="C35" s="6">
        <f t="shared" si="0"/>
        <v>886296.40216956928</v>
      </c>
      <c r="D35" s="6">
        <f t="shared" si="0"/>
        <v>1583225.1905597146</v>
      </c>
      <c r="E35" s="6">
        <f t="shared" si="0"/>
        <v>2280153.9789498593</v>
      </c>
      <c r="F35" s="6">
        <f t="shared" si="0"/>
        <v>2977082.7673400044</v>
      </c>
      <c r="G35" s="6">
        <f t="shared" si="0"/>
        <v>4370940.3441202957</v>
      </c>
      <c r="H35" s="6">
        <f t="shared" si="0"/>
        <v>5764797.9209005851</v>
      </c>
    </row>
    <row r="36" spans="1:8" x14ac:dyDescent="0.35">
      <c r="A36" s="4">
        <v>0.45</v>
      </c>
      <c r="B36" s="6">
        <f t="shared" si="1"/>
        <v>341099.81087696052</v>
      </c>
      <c r="C36" s="6">
        <f t="shared" si="0"/>
        <v>1125144.6978158737</v>
      </c>
      <c r="D36" s="6">
        <f t="shared" si="0"/>
        <v>1909189.5847547869</v>
      </c>
      <c r="E36" s="6">
        <f t="shared" si="0"/>
        <v>2693234.4716937002</v>
      </c>
      <c r="F36" s="6">
        <f t="shared" si="0"/>
        <v>3477279.3586326134</v>
      </c>
      <c r="G36" s="6">
        <f t="shared" si="0"/>
        <v>5045369.1325104404</v>
      </c>
      <c r="H36" s="6">
        <f t="shared" si="0"/>
        <v>6613458.9063882669</v>
      </c>
    </row>
    <row r="37" spans="1:8" x14ac:dyDescent="0.35">
      <c r="A37" s="4">
        <v>0.5</v>
      </c>
      <c r="B37" s="6">
        <f t="shared" si="1"/>
        <v>492832.00797449693</v>
      </c>
      <c r="C37" s="6">
        <f t="shared" si="0"/>
        <v>1363992.9934621784</v>
      </c>
      <c r="D37" s="6">
        <f t="shared" si="0"/>
        <v>2235153.9789498597</v>
      </c>
      <c r="E37" s="6">
        <f t="shared" si="0"/>
        <v>3106314.9644375411</v>
      </c>
      <c r="F37" s="6">
        <f t="shared" si="0"/>
        <v>3977475.9499252229</v>
      </c>
      <c r="G37" s="6">
        <f t="shared" si="0"/>
        <v>5719797.9209005861</v>
      </c>
      <c r="H37" s="6">
        <f t="shared" si="0"/>
        <v>7462119.8918759488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4" sqref="D4"/>
    </sheetView>
  </sheetViews>
  <sheetFormatPr defaultRowHeight="14.5" x14ac:dyDescent="0.35"/>
  <cols>
    <col min="1" max="1" width="35.7265625" customWidth="1"/>
    <col min="2" max="2" width="19.7265625" customWidth="1"/>
  </cols>
  <sheetData>
    <row r="1" spans="1:4" x14ac:dyDescent="0.35">
      <c r="A1" t="s">
        <v>33</v>
      </c>
      <c r="B1" t="s">
        <v>2</v>
      </c>
    </row>
    <row r="2" spans="1:4" x14ac:dyDescent="0.35">
      <c r="A2" t="s">
        <v>34</v>
      </c>
      <c r="B2" s="9">
        <v>0.2404</v>
      </c>
    </row>
    <row r="3" spans="1:4" x14ac:dyDescent="0.35">
      <c r="A3" t="s">
        <v>35</v>
      </c>
      <c r="B3" s="11">
        <v>44701</v>
      </c>
    </row>
    <row r="4" spans="1:4" x14ac:dyDescent="0.35">
      <c r="A4" t="s">
        <v>36</v>
      </c>
      <c r="B4" s="11">
        <v>219</v>
      </c>
    </row>
    <row r="5" spans="1:4" x14ac:dyDescent="0.35">
      <c r="A5" t="s">
        <v>37</v>
      </c>
      <c r="B5" s="11">
        <v>352</v>
      </c>
    </row>
    <row r="6" spans="1:4" x14ac:dyDescent="0.35">
      <c r="A6" t="s">
        <v>38</v>
      </c>
      <c r="B6" s="9">
        <v>1</v>
      </c>
    </row>
    <row r="7" spans="1:4" x14ac:dyDescent="0.35">
      <c r="A7" t="s">
        <v>39</v>
      </c>
      <c r="B7" s="9">
        <v>0.24790000000000001</v>
      </c>
    </row>
    <row r="8" spans="1:4" x14ac:dyDescent="0.35">
      <c r="A8" t="s">
        <v>40</v>
      </c>
      <c r="B8" s="9">
        <v>0.71340000000000003</v>
      </c>
    </row>
    <row r="9" spans="1:4" x14ac:dyDescent="0.35">
      <c r="A9" t="s">
        <v>41</v>
      </c>
      <c r="B9" s="10">
        <v>-10028551</v>
      </c>
    </row>
    <row r="10" spans="1:4" x14ac:dyDescent="0.35">
      <c r="A10" t="s">
        <v>42</v>
      </c>
      <c r="B10" s="11">
        <v>2293</v>
      </c>
    </row>
    <row r="11" spans="1:4" x14ac:dyDescent="0.35">
      <c r="A11" t="s">
        <v>43</v>
      </c>
      <c r="B11" s="9">
        <v>0.16039999999999999</v>
      </c>
    </row>
    <row r="12" spans="1:4" x14ac:dyDescent="0.35">
      <c r="A12" t="s">
        <v>44</v>
      </c>
      <c r="B12" s="9">
        <v>0.69540000000000002</v>
      </c>
    </row>
    <row r="13" spans="1:4" x14ac:dyDescent="0.35">
      <c r="A13" t="s">
        <v>45</v>
      </c>
      <c r="B13" s="12">
        <v>1.41</v>
      </c>
      <c r="D1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6" sqref="C6"/>
    </sheetView>
  </sheetViews>
  <sheetFormatPr defaultRowHeight="14.5" x14ac:dyDescent="0.35"/>
  <cols>
    <col min="1" max="1" width="32" customWidth="1"/>
    <col min="2" max="2" width="23.90625" customWidth="1"/>
    <col min="3" max="3" width="26.6328125" customWidth="1"/>
  </cols>
  <sheetData>
    <row r="1" spans="1:3" x14ac:dyDescent="0.35">
      <c r="A1" t="s">
        <v>46</v>
      </c>
    </row>
    <row r="3" spans="1:3" x14ac:dyDescent="0.35">
      <c r="A3" t="s">
        <v>47</v>
      </c>
      <c r="B3" t="s">
        <v>2</v>
      </c>
      <c r="C3" t="s">
        <v>48</v>
      </c>
    </row>
    <row r="4" spans="1:3" x14ac:dyDescent="0.35">
      <c r="A4" t="s">
        <v>49</v>
      </c>
      <c r="B4" s="13">
        <f>'Part A'!B2</f>
        <v>0.2404</v>
      </c>
      <c r="C4" s="14" t="str">
        <f>IF(B4&lt;30%,"ALERT","OK")</f>
        <v>ALERT</v>
      </c>
    </row>
    <row r="5" spans="1:3" x14ac:dyDescent="0.35">
      <c r="A5" t="s">
        <v>39</v>
      </c>
      <c r="B5" s="13">
        <f>'Part A'!B7</f>
        <v>0.24790000000000001</v>
      </c>
      <c r="C5" s="14" t="str">
        <f>IF(B5&lt;35%,"ALERT","OK")</f>
        <v>ALERT</v>
      </c>
    </row>
    <row r="6" spans="1:3" x14ac:dyDescent="0.35">
      <c r="A6" t="s">
        <v>40</v>
      </c>
      <c r="B6" s="13">
        <f>'Part A'!B8</f>
        <v>0.71340000000000003</v>
      </c>
      <c r="C6" s="15" t="str">
        <f>IF(B6&lt;70%,"ALERT","OK")</f>
        <v>OK</v>
      </c>
    </row>
    <row r="7" spans="1:3" x14ac:dyDescent="0.35">
      <c r="A7" t="s">
        <v>43</v>
      </c>
      <c r="B7" s="13">
        <f>'Part A'!B11</f>
        <v>0.16039999999999999</v>
      </c>
      <c r="C7" s="14" t="str">
        <f>IF(B7&lt;20%,"ALERT","OK")</f>
        <v>ALERT</v>
      </c>
    </row>
    <row r="8" spans="1:3" x14ac:dyDescent="0.35">
      <c r="A8" t="s">
        <v>41</v>
      </c>
      <c r="B8" s="10">
        <f>'Part A'!B9</f>
        <v>-10028551</v>
      </c>
      <c r="C8" s="14" t="str">
        <f>IF(B8&lt;0,"ALERT","OK")</f>
        <v>ALERT</v>
      </c>
    </row>
    <row r="9" spans="1:3" x14ac:dyDescent="0.35">
      <c r="A9" t="s">
        <v>37</v>
      </c>
      <c r="B9" s="11">
        <f>'Part A'!B5</f>
        <v>352</v>
      </c>
      <c r="C9" s="14" t="str">
        <f>IF(B9&gt;300,"ALERT","OK")</f>
        <v>ALERT</v>
      </c>
    </row>
    <row r="10" spans="1:3" x14ac:dyDescent="0.35">
      <c r="A10" t="s">
        <v>42</v>
      </c>
      <c r="B10" s="11">
        <f>'Part A'!B10</f>
        <v>2293</v>
      </c>
      <c r="C10" s="14" t="str">
        <f>IF(B10&gt;0,"ALERT","OK")</f>
        <v>ALERT</v>
      </c>
    </row>
    <row r="13" spans="1:3" x14ac:dyDescent="0.35">
      <c r="A13" t="s">
        <v>50</v>
      </c>
      <c r="B13" t="s">
        <v>51</v>
      </c>
      <c r="C13" t="s">
        <v>52</v>
      </c>
    </row>
    <row r="14" spans="1:3" x14ac:dyDescent="0.35">
      <c r="A14" t="s">
        <v>53</v>
      </c>
      <c r="B14" t="s">
        <v>54</v>
      </c>
      <c r="C14" t="s">
        <v>55</v>
      </c>
    </row>
    <row r="15" spans="1:3" x14ac:dyDescent="0.35">
      <c r="A15" t="s">
        <v>39</v>
      </c>
      <c r="B15" t="s">
        <v>56</v>
      </c>
      <c r="C15" t="s">
        <v>57</v>
      </c>
    </row>
    <row r="16" spans="1:3" x14ac:dyDescent="0.35">
      <c r="A16" t="s">
        <v>58</v>
      </c>
      <c r="B16" t="s">
        <v>59</v>
      </c>
      <c r="C16" t="s">
        <v>60</v>
      </c>
    </row>
    <row r="17" spans="1:3" x14ac:dyDescent="0.35">
      <c r="A17" t="s">
        <v>61</v>
      </c>
      <c r="B17" t="s">
        <v>62</v>
      </c>
      <c r="C17" t="s">
        <v>63</v>
      </c>
    </row>
    <row r="18" spans="1:3" x14ac:dyDescent="0.35">
      <c r="A18" t="s">
        <v>64</v>
      </c>
      <c r="B18" t="s">
        <v>65</v>
      </c>
      <c r="C18" t="s">
        <v>66</v>
      </c>
    </row>
    <row r="19" spans="1:3" x14ac:dyDescent="0.35">
      <c r="A19" t="s">
        <v>67</v>
      </c>
      <c r="B19" t="s">
        <v>68</v>
      </c>
      <c r="C19" t="s">
        <v>69</v>
      </c>
    </row>
    <row r="20" spans="1:3" x14ac:dyDescent="0.35">
      <c r="A20" t="s">
        <v>42</v>
      </c>
      <c r="B20" t="s">
        <v>70</v>
      </c>
      <c r="C20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7" sqref="A7"/>
    </sheetView>
  </sheetViews>
  <sheetFormatPr defaultRowHeight="14.5" x14ac:dyDescent="0.35"/>
  <cols>
    <col min="1" max="1" width="43.26953125" customWidth="1"/>
    <col min="2" max="2" width="9.26953125" customWidth="1"/>
    <col min="3" max="3" width="44.453125" customWidth="1"/>
    <col min="4" max="4" width="25.08984375" customWidth="1"/>
    <col min="5" max="5" width="54.36328125" customWidth="1"/>
    <col min="7" max="7" width="32.6328125" customWidth="1"/>
  </cols>
  <sheetData>
    <row r="1" spans="1:7" s="16" customFormat="1" x14ac:dyDescent="0.35">
      <c r="A1" s="16" t="s">
        <v>72</v>
      </c>
      <c r="B1" s="16" t="s">
        <v>73</v>
      </c>
      <c r="C1" s="16" t="s">
        <v>74</v>
      </c>
      <c r="D1" s="16" t="s">
        <v>52</v>
      </c>
      <c r="E1" s="16" t="s">
        <v>75</v>
      </c>
      <c r="F1" s="16" t="s">
        <v>76</v>
      </c>
      <c r="G1" s="16" t="s">
        <v>77</v>
      </c>
    </row>
    <row r="2" spans="1:7" x14ac:dyDescent="0.35">
      <c r="A2">
        <v>1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</row>
    <row r="3" spans="1:7" x14ac:dyDescent="0.35">
      <c r="A3">
        <v>2</v>
      </c>
      <c r="B3" t="s">
        <v>78</v>
      </c>
      <c r="C3" t="s">
        <v>84</v>
      </c>
      <c r="D3" t="s">
        <v>85</v>
      </c>
      <c r="E3" t="s">
        <v>86</v>
      </c>
      <c r="F3" t="s">
        <v>82</v>
      </c>
      <c r="G3" t="s">
        <v>87</v>
      </c>
    </row>
    <row r="4" spans="1:7" x14ac:dyDescent="0.35">
      <c r="A4">
        <v>3</v>
      </c>
      <c r="B4" t="s">
        <v>78</v>
      </c>
      <c r="C4" t="s">
        <v>88</v>
      </c>
      <c r="D4" t="s">
        <v>89</v>
      </c>
      <c r="E4" t="s">
        <v>90</v>
      </c>
      <c r="F4" t="s">
        <v>82</v>
      </c>
      <c r="G4" t="s">
        <v>91</v>
      </c>
    </row>
    <row r="5" spans="1:7" x14ac:dyDescent="0.35">
      <c r="A5">
        <v>4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</row>
    <row r="6" spans="1:7" x14ac:dyDescent="0.35">
      <c r="A6">
        <v>5</v>
      </c>
      <c r="B6" t="s">
        <v>92</v>
      </c>
      <c r="C6" t="s">
        <v>98</v>
      </c>
      <c r="D6" t="s">
        <v>99</v>
      </c>
      <c r="E6" t="s">
        <v>100</v>
      </c>
      <c r="F6" t="s">
        <v>96</v>
      </c>
      <c r="G6" t="s">
        <v>101</v>
      </c>
    </row>
    <row r="7" spans="1:7" x14ac:dyDescent="0.35">
      <c r="A7">
        <v>6</v>
      </c>
      <c r="B7" t="s">
        <v>92</v>
      </c>
      <c r="C7" t="s">
        <v>102</v>
      </c>
      <c r="D7" t="s">
        <v>103</v>
      </c>
      <c r="E7" t="s">
        <v>104</v>
      </c>
      <c r="F7" t="s">
        <v>96</v>
      </c>
      <c r="G7" t="s">
        <v>105</v>
      </c>
    </row>
    <row r="8" spans="1:7" x14ac:dyDescent="0.35">
      <c r="A8">
        <v>7</v>
      </c>
      <c r="B8" t="s">
        <v>106</v>
      </c>
      <c r="C8" t="s">
        <v>107</v>
      </c>
      <c r="D8" t="s">
        <v>108</v>
      </c>
      <c r="E8" t="s">
        <v>109</v>
      </c>
      <c r="F8" t="s">
        <v>96</v>
      </c>
      <c r="G8" t="s">
        <v>110</v>
      </c>
    </row>
    <row r="9" spans="1:7" x14ac:dyDescent="0.35">
      <c r="A9">
        <v>8</v>
      </c>
      <c r="B9" t="s">
        <v>106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</row>
    <row r="12" spans="1:7" s="16" customFormat="1" x14ac:dyDescent="0.35">
      <c r="A12" s="16" t="s">
        <v>116</v>
      </c>
      <c r="B12" s="16" t="s">
        <v>117</v>
      </c>
    </row>
    <row r="13" spans="1:7" x14ac:dyDescent="0.35">
      <c r="A13" t="s">
        <v>118</v>
      </c>
      <c r="B13" t="s">
        <v>119</v>
      </c>
    </row>
    <row r="14" spans="1:7" x14ac:dyDescent="0.35">
      <c r="A14" t="s">
        <v>120</v>
      </c>
      <c r="B14" t="s">
        <v>121</v>
      </c>
    </row>
    <row r="15" spans="1:7" x14ac:dyDescent="0.35">
      <c r="A15" t="s">
        <v>122</v>
      </c>
      <c r="B15" t="s">
        <v>123</v>
      </c>
    </row>
    <row r="16" spans="1:7" x14ac:dyDescent="0.35">
      <c r="A16" t="s">
        <v>124</v>
      </c>
      <c r="B16" t="s">
        <v>125</v>
      </c>
    </row>
    <row r="17" spans="1:2" x14ac:dyDescent="0.35">
      <c r="A17" t="s">
        <v>126</v>
      </c>
      <c r="B17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10" sqref="D10"/>
    </sheetView>
  </sheetViews>
  <sheetFormatPr defaultRowHeight="14.5" x14ac:dyDescent="0.35"/>
  <cols>
    <col min="1" max="1" width="17.1796875" customWidth="1"/>
    <col min="2" max="2" width="29.6328125" customWidth="1"/>
  </cols>
  <sheetData>
    <row r="1" spans="1:2" x14ac:dyDescent="0.35">
      <c r="A1" t="s">
        <v>128</v>
      </c>
      <c r="B1" t="s">
        <v>129</v>
      </c>
    </row>
    <row r="2" spans="1:2" x14ac:dyDescent="0.35">
      <c r="A2" t="s">
        <v>130</v>
      </c>
      <c r="B2" t="s">
        <v>131</v>
      </c>
    </row>
    <row r="3" spans="1:2" x14ac:dyDescent="0.35">
      <c r="A3" t="s">
        <v>132</v>
      </c>
      <c r="B3" t="s">
        <v>133</v>
      </c>
    </row>
    <row r="4" spans="1:2" x14ac:dyDescent="0.35">
      <c r="A4" t="s">
        <v>134</v>
      </c>
      <c r="B4" t="s">
        <v>135</v>
      </c>
    </row>
    <row r="5" spans="1:2" x14ac:dyDescent="0.35">
      <c r="A5" t="s">
        <v>136</v>
      </c>
      <c r="B5" t="s">
        <v>137</v>
      </c>
    </row>
    <row r="6" spans="1:2" x14ac:dyDescent="0.35">
      <c r="A6" t="s">
        <v>138</v>
      </c>
      <c r="B6" t="s">
        <v>139</v>
      </c>
    </row>
    <row r="7" spans="1:2" x14ac:dyDescent="0.35">
      <c r="A7" t="s">
        <v>140</v>
      </c>
      <c r="B7" t="s">
        <v>141</v>
      </c>
    </row>
    <row r="8" spans="1:2" x14ac:dyDescent="0.35">
      <c r="A8" t="s">
        <v>142</v>
      </c>
      <c r="B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 Economics</vt:lpstr>
      <vt:lpstr>Part A</vt:lpstr>
      <vt:lpstr>Dashboard</vt:lpstr>
      <vt:lpstr>Action Plan</vt:lpstr>
      <vt:lpstr>AI 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 Tiwary</dc:creator>
  <cp:lastModifiedBy>Lenovo</cp:lastModifiedBy>
  <dcterms:created xsi:type="dcterms:W3CDTF">2026-09-23T16:16:23Z</dcterms:created>
  <dcterms:modified xsi:type="dcterms:W3CDTF">2026-09-23T17:24:37Z</dcterms:modified>
</cp:coreProperties>
</file>